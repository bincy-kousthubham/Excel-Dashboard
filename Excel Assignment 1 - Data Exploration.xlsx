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ndows\Desktop\DA\"/>
    </mc:Choice>
  </mc:AlternateContent>
  <xr:revisionPtr revIDLastSave="0" documentId="13_ncr:1_{2B54F2B5-F0AF-4589-B1B3-C30FE5F31DE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4" i="2" l="1"/>
  <c r="G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9" i="2"/>
  <c r="M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" i="2"/>
  <c r="M7" i="2"/>
  <c r="M6" i="2"/>
  <c r="M4" i="2"/>
  <c r="M5" i="2"/>
  <c r="M3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<sst xmlns="http://schemas.openxmlformats.org/spreadsheetml/2006/main" count="172" uniqueCount="123">
  <si>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</si>
  <si>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</si>
  <si>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</si>
  <si>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</si>
  <si>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</si>
  <si>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</si>
  <si>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</si>
  <si>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</si>
  <si>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</si>
  <si>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</si>
  <si>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</si>
  <si>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</si>
  <si>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</si>
  <si>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</si>
  <si>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</si>
  <si>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</si>
  <si>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</si>
  <si>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</si>
  <si>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</si>
  <si>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</si>
  <si>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</si>
  <si>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</si>
  <si>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</si>
  <si>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</si>
  <si>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</si>
  <si>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</si>
  <si>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</si>
  <si>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</si>
  <si>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</si>
  <si>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</si>
  <si>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</si>
  <si>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</si>
  <si>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</si>
  <si>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</si>
  <si>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</si>
  <si>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</si>
  <si>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</si>
  <si>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</si>
  <si>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</si>
  <si>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</si>
  <si>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</si>
  <si>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</si>
  <si>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</si>
  <si>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</si>
  <si>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</si>
  <si>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</si>
  <si>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</si>
  <si>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</si>
  <si>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</si>
  <si>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</si>
  <si>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</si>
  <si>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</si>
  <si>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</si>
  <si>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</si>
  <si>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</si>
  <si>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</si>
  <si>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</si>
  <si>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</si>
  <si>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</si>
  <si>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</si>
  <si>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</si>
  <si>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</si>
  <si>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</si>
  <si>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</si>
  <si>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</si>
  <si>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</si>
  <si>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</si>
  <si>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</si>
  <si>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</si>
  <si>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</si>
  <si>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</si>
  <si>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</si>
  <si>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</si>
  <si>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</si>
  <si>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</si>
  <si>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</si>
  <si>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</si>
  <si>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</si>
  <si>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</si>
  <si>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</si>
  <si>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</si>
  <si>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</si>
  <si>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</si>
  <si>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</si>
  <si>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</si>
  <si>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</si>
  <si>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</si>
  <si>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</si>
  <si>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</si>
  <si>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</si>
  <si>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</si>
  <si>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</si>
  <si>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</si>
  <si>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</si>
  <si>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</si>
  <si>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</si>
  <si>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</si>
  <si>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</si>
  <si>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</si>
  <si>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</si>
  <si>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</si>
  <si>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</si>
  <si>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</si>
  <si>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</si>
  <si>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</si>
  <si>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</si>
  <si>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</si>
  <si>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</si>
  <si>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</si>
  <si>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</si>
  <si>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 of All Products</t>
  </si>
  <si>
    <t>Average Price</t>
  </si>
  <si>
    <t>Products in the data set</t>
  </si>
  <si>
    <t>Minimum Price</t>
  </si>
  <si>
    <t>Maximum Price</t>
  </si>
  <si>
    <t>Price Range</t>
  </si>
  <si>
    <t>Price of Electronics</t>
  </si>
  <si>
    <t>Count of products less than $100</t>
  </si>
  <si>
    <t>DAY</t>
  </si>
  <si>
    <t>Country Code</t>
  </si>
  <si>
    <t>Month</t>
  </si>
  <si>
    <t>Instructions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</si>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</sst>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/>
    <xf numFmtId="0" fontId="0" fillId="0" borderId="2" xfId="0" applyFill="1" applyBorder="1"/>
    <xf numFmtId="0" fontId="0" fillId="0" borderId="2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03F13-AA0A-4F13-AADA-A4CF752C0D71}" name="Table1" displayName="Table1" ref="G1:J35" totalsRowShown="0">
  <tableColumns count="4">
    <tableColumn id="1" xr3:uid="{6990B2C8-C7E0-43B9-9EC8-0E16873495E0}" name="Price Range" dataDxfId="7">
      <calculatedColumnFormula>IF(D2&gt;=500,"High Price","Standard Price")</calculatedColumnFormula>
    </tableColumn>
    <tableColumn id="2" xr3:uid="{214CC9E4-D0B9-454B-A0E5-C4C1E91E63BD}" name="DAY" dataDxfId="6">
      <calculatedColumnFormula>LEFT(A2,2)</calculatedColumnFormula>
    </tableColumn>
    <tableColumn id="3" xr3:uid="{CA8B7A35-DC8D-4134-9ACE-EC3CA6733307}" name="Country Code" dataDxfId="5">
      <calculatedColumnFormula>RIGHT(A2,2)</calculatedColumnFormula>
    </tableColumn>
    <tableColumn id="4" xr3:uid="{572DBA2D-F738-4EFB-8549-176D14E503C0}" name="Month" dataDxfId="4">
      <calculatedColumnFormula>MID(A2,4,3)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6DA69C-40D9-4800-B1CB-1EC11B6428EB}" name="Table3" displayName="Table3" ref="L2:M9" totalsRowShown="0" headerRowDxfId="0" tableBorderDxfId="3">
  <tableColumns count="2">
    <tableColumn id="1" xr3:uid="{F96C9F07-1135-4E40-9B72-4A41E2082525}" name="Instructions" dataDxfId="2"/>
    <tableColumn id="2" xr3:uid="{D81187F4-870C-4DE3-9B15-6EF18F65EF76}" name="Result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3" workbookViewId="0">
      <selection activeCell="C13" sqref="C13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/>
  </sheetViews>
  <sheetFormatPr defaultColWidth="12.6328125" defaultRowHeight="15" customHeight="1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13.453125" bestFit="1" customWidth="1"/>
    <col min="8" max="8" width="9" style="10" bestFit="1" customWidth="1"/>
    <col min="9" max="9" width="17.26953125" style="10" bestFit="1" customWidth="1"/>
    <col min="10" max="10" width="8.54296875" style="10" bestFit="1" customWidth="1"/>
    <col min="11" max="11" width="7.54296875" customWidth="1"/>
    <col min="12" max="12" width="27.54296875" bestFit="1" customWidth="1"/>
    <col min="13" max="13" width="11.81640625" bestFit="1" customWidth="1"/>
  </cols>
  <sheetData>
    <row r="1" spans="1:13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115</v>
      </c>
      <c r="H1" s="11" t="s">
        <v>118</v>
      </c>
      <c r="I1" s="11" t="s">
        <v>119</v>
      </c>
      <c r="J1" s="6" t="s">
        <v>120</v>
      </c>
    </row>
    <row r="2" spans="1:13" ht="15.75" customHeight="1" x14ac:dyDescent="0.3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11" t="str">
        <f>LEFT(A2,2)</f>
        <v>28</v>
      </c>
      <c r="I2" s="11" t="str">
        <f>RIGHT(A2,2)</f>
        <v>US</v>
      </c>
      <c r="J2" s="6" t="str">
        <f>MID(A2,4,3)</f>
        <v>JAN</v>
      </c>
      <c r="L2" s="13" t="s">
        <v>121</v>
      </c>
      <c r="M2" s="13" t="s">
        <v>122</v>
      </c>
    </row>
    <row r="3" spans="1:1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ref="G3:G35" si="0">IF(D3&gt;=500,"High Price","Standard Price")</f>
        <v>Standard Price</v>
      </c>
      <c r="H3" s="12" t="str">
        <f t="shared" ref="H3:H35" si="1">LEFT(A3,2)</f>
        <v>15</v>
      </c>
      <c r="I3" s="12" t="str">
        <f t="shared" ref="I3:I35" si="2">RIGHT(A3,2)</f>
        <v>US</v>
      </c>
      <c r="J3" s="7" t="str">
        <f t="shared" ref="J3:J35" si="3">MID(A3,4,3)</f>
        <v>FEB</v>
      </c>
      <c r="L3" s="8" t="s">
        <v>110</v>
      </c>
      <c r="M3" s="8">
        <f>SUM(D2:D35)</f>
        <v>10100</v>
      </c>
    </row>
    <row r="4" spans="1:1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11" t="str">
        <f t="shared" si="1"/>
        <v>03</v>
      </c>
      <c r="I4" s="11" t="str">
        <f t="shared" si="2"/>
        <v>US</v>
      </c>
      <c r="J4" s="6" t="str">
        <f t="shared" si="3"/>
        <v>MAR</v>
      </c>
      <c r="L4" s="8" t="s">
        <v>112</v>
      </c>
      <c r="M4" s="8">
        <f>COUNTA(B2:B35)</f>
        <v>34</v>
      </c>
    </row>
    <row r="5" spans="1:1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12" t="str">
        <f t="shared" si="1"/>
        <v>11</v>
      </c>
      <c r="I5" s="12" t="str">
        <f t="shared" si="2"/>
        <v>US</v>
      </c>
      <c r="J5" s="7" t="str">
        <f t="shared" si="3"/>
        <v>APR</v>
      </c>
      <c r="L5" s="8" t="s">
        <v>111</v>
      </c>
      <c r="M5" s="8">
        <f>AVERAGE(D2:D35)</f>
        <v>297.05882352941177</v>
      </c>
    </row>
    <row r="6" spans="1:1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11" t="str">
        <f t="shared" si="1"/>
        <v>22</v>
      </c>
      <c r="I6" s="11" t="str">
        <f t="shared" si="2"/>
        <v>US</v>
      </c>
      <c r="J6" s="6" t="str">
        <f t="shared" si="3"/>
        <v>MAY</v>
      </c>
      <c r="L6" s="8" t="s">
        <v>113</v>
      </c>
      <c r="M6" s="8">
        <f>MIN(D2:D35)</f>
        <v>30</v>
      </c>
    </row>
    <row r="7" spans="1:1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12" t="str">
        <f t="shared" si="1"/>
        <v>07</v>
      </c>
      <c r="I7" s="12" t="str">
        <f t="shared" si="2"/>
        <v>UK</v>
      </c>
      <c r="J7" s="7" t="str">
        <f t="shared" si="3"/>
        <v>JUN</v>
      </c>
      <c r="L7" s="8" t="s">
        <v>114</v>
      </c>
      <c r="M7" s="8">
        <f>MAX(D2:D35)</f>
        <v>1000</v>
      </c>
    </row>
    <row r="8" spans="1:1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11" t="str">
        <f t="shared" si="1"/>
        <v>19</v>
      </c>
      <c r="I8" s="11" t="str">
        <f t="shared" si="2"/>
        <v>UK</v>
      </c>
      <c r="J8" s="6" t="str">
        <f t="shared" si="3"/>
        <v>JUL</v>
      </c>
      <c r="L8" s="9" t="s">
        <v>116</v>
      </c>
      <c r="M8" s="8">
        <f>SUMIF(F2:F35,"Electronics",D2:D35)</f>
        <v>8050</v>
      </c>
    </row>
    <row r="9" spans="1:1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12" t="str">
        <f t="shared" si="1"/>
        <v>23</v>
      </c>
      <c r="I9" s="12" t="str">
        <f t="shared" si="2"/>
        <v>UK</v>
      </c>
      <c r="J9" s="7" t="str">
        <f t="shared" si="3"/>
        <v>AUG</v>
      </c>
      <c r="L9" s="14" t="s">
        <v>117</v>
      </c>
      <c r="M9" s="15">
        <f>COUNTIF(D2:D35,"&lt;100")</f>
        <v>11</v>
      </c>
    </row>
    <row r="10" spans="1:1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11" t="str">
        <f t="shared" si="1"/>
        <v>05</v>
      </c>
      <c r="I10" s="11" t="str">
        <f t="shared" si="2"/>
        <v>UK</v>
      </c>
      <c r="J10" s="6" t="str">
        <f t="shared" si="3"/>
        <v>SEP</v>
      </c>
    </row>
    <row r="11" spans="1:1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12" t="str">
        <f t="shared" si="1"/>
        <v>14</v>
      </c>
      <c r="I11" s="12" t="str">
        <f t="shared" si="2"/>
        <v>UK</v>
      </c>
      <c r="J11" s="7" t="str">
        <f t="shared" si="3"/>
        <v>OCT</v>
      </c>
    </row>
    <row r="12" spans="1:1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11" t="str">
        <f t="shared" si="1"/>
        <v>17</v>
      </c>
      <c r="I12" s="11" t="str">
        <f t="shared" si="2"/>
        <v>IN</v>
      </c>
      <c r="J12" s="6" t="str">
        <f t="shared" si="3"/>
        <v>JUN</v>
      </c>
    </row>
    <row r="13" spans="1:1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12" t="str">
        <f t="shared" si="1"/>
        <v>25</v>
      </c>
      <c r="I13" s="12" t="str">
        <f t="shared" si="2"/>
        <v>AU</v>
      </c>
      <c r="J13" s="7" t="str">
        <f t="shared" si="3"/>
        <v>NOV</v>
      </c>
    </row>
    <row r="14" spans="1:1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11" t="str">
        <f t="shared" si="1"/>
        <v>08</v>
      </c>
      <c r="I14" s="11" t="str">
        <f t="shared" si="2"/>
        <v>DE</v>
      </c>
      <c r="J14" s="6" t="str">
        <f t="shared" si="3"/>
        <v>DEC</v>
      </c>
    </row>
    <row r="15" spans="1:1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12" t="str">
        <f t="shared" si="1"/>
        <v>18</v>
      </c>
      <c r="I15" s="12" t="str">
        <f t="shared" si="2"/>
        <v>CA</v>
      </c>
      <c r="J15" s="7" t="str">
        <f t="shared" si="3"/>
        <v>FEB</v>
      </c>
    </row>
    <row r="16" spans="1:1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11" t="str">
        <f t="shared" si="1"/>
        <v>16</v>
      </c>
      <c r="I16" s="11" t="str">
        <f t="shared" si="2"/>
        <v>ES</v>
      </c>
      <c r="J16" s="6" t="str">
        <f t="shared" si="3"/>
        <v>APR</v>
      </c>
    </row>
    <row r="17" spans="1:10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12" t="str">
        <f t="shared" si="1"/>
        <v>21</v>
      </c>
      <c r="I17" s="12" t="str">
        <f t="shared" si="2"/>
        <v>CA</v>
      </c>
      <c r="J17" s="7" t="str">
        <f t="shared" si="3"/>
        <v>AUG</v>
      </c>
    </row>
    <row r="18" spans="1:10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11" t="str">
        <f t="shared" si="1"/>
        <v>20</v>
      </c>
      <c r="I18" s="11" t="str">
        <f t="shared" si="2"/>
        <v>CN</v>
      </c>
      <c r="J18" s="6" t="str">
        <f t="shared" si="3"/>
        <v>AUG</v>
      </c>
    </row>
    <row r="19" spans="1:10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12" t="str">
        <f t="shared" si="1"/>
        <v>27</v>
      </c>
      <c r="I19" s="12" t="str">
        <f t="shared" si="2"/>
        <v>IT</v>
      </c>
      <c r="J19" s="7" t="str">
        <f t="shared" si="3"/>
        <v>JAN</v>
      </c>
    </row>
    <row r="20" spans="1:10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11" t="str">
        <f t="shared" si="1"/>
        <v>01</v>
      </c>
      <c r="I20" s="11" t="str">
        <f t="shared" si="2"/>
        <v>UK</v>
      </c>
      <c r="J20" s="6" t="str">
        <f t="shared" si="3"/>
        <v>MAR</v>
      </c>
    </row>
    <row r="21" spans="1:10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12" t="str">
        <f t="shared" si="1"/>
        <v>14</v>
      </c>
      <c r="I21" s="12" t="str">
        <f t="shared" si="2"/>
        <v>US</v>
      </c>
      <c r="J21" s="7" t="str">
        <f t="shared" si="3"/>
        <v>AUG</v>
      </c>
    </row>
    <row r="22" spans="1:10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11" t="str">
        <f t="shared" si="1"/>
        <v>14</v>
      </c>
      <c r="I22" s="11" t="str">
        <f t="shared" si="2"/>
        <v>RU</v>
      </c>
      <c r="J22" s="6" t="str">
        <f t="shared" si="3"/>
        <v>MAY</v>
      </c>
    </row>
    <row r="23" spans="1:10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12" t="str">
        <f t="shared" si="1"/>
        <v>09</v>
      </c>
      <c r="I23" s="12" t="str">
        <f t="shared" si="2"/>
        <v>CA</v>
      </c>
      <c r="J23" s="7" t="str">
        <f t="shared" si="3"/>
        <v>JAN</v>
      </c>
    </row>
    <row r="24" spans="1:10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11" t="str">
        <f t="shared" si="1"/>
        <v>19</v>
      </c>
      <c r="I24" s="11" t="str">
        <f t="shared" si="2"/>
        <v>BR</v>
      </c>
      <c r="J24" s="6" t="str">
        <f t="shared" si="3"/>
        <v>JUL</v>
      </c>
    </row>
    <row r="25" spans="1:10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12" t="str">
        <f t="shared" si="1"/>
        <v>21</v>
      </c>
      <c r="I25" s="12" t="str">
        <f t="shared" si="2"/>
        <v>CA</v>
      </c>
      <c r="J25" s="7" t="str">
        <f t="shared" si="3"/>
        <v>AUG</v>
      </c>
    </row>
    <row r="26" spans="1:10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11" t="str">
        <f t="shared" si="1"/>
        <v>29</v>
      </c>
      <c r="I26" s="11" t="str">
        <f t="shared" si="2"/>
        <v>CA</v>
      </c>
      <c r="J26" s="6" t="str">
        <f t="shared" si="3"/>
        <v>SEP</v>
      </c>
    </row>
    <row r="27" spans="1:10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12" t="str">
        <f t="shared" si="1"/>
        <v>03</v>
      </c>
      <c r="I27" s="12" t="str">
        <f t="shared" si="2"/>
        <v>CA</v>
      </c>
      <c r="J27" s="7" t="str">
        <f t="shared" si="3"/>
        <v>JUN</v>
      </c>
    </row>
    <row r="28" spans="1:10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11" t="str">
        <f t="shared" si="1"/>
        <v>11</v>
      </c>
      <c r="I28" s="11" t="str">
        <f t="shared" si="2"/>
        <v>CA</v>
      </c>
      <c r="J28" s="6" t="str">
        <f t="shared" si="3"/>
        <v>JUL</v>
      </c>
    </row>
    <row r="29" spans="1:10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12" t="str">
        <f t="shared" si="1"/>
        <v>16</v>
      </c>
      <c r="I29" s="12" t="str">
        <f t="shared" si="2"/>
        <v>ES</v>
      </c>
      <c r="J29" s="7" t="str">
        <f t="shared" si="3"/>
        <v>APR</v>
      </c>
    </row>
    <row r="30" spans="1:10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11" t="str">
        <f t="shared" si="1"/>
        <v>07</v>
      </c>
      <c r="I30" s="11" t="str">
        <f t="shared" si="2"/>
        <v>CA</v>
      </c>
      <c r="J30" s="6" t="str">
        <f t="shared" si="3"/>
        <v>MAR</v>
      </c>
    </row>
    <row r="31" spans="1:10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12" t="str">
        <f t="shared" si="1"/>
        <v>13</v>
      </c>
      <c r="I31" s="12" t="str">
        <f t="shared" si="2"/>
        <v>CA</v>
      </c>
      <c r="J31" s="7" t="str">
        <f t="shared" si="3"/>
        <v>APR</v>
      </c>
    </row>
    <row r="32" spans="1:10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11" t="str">
        <f t="shared" si="1"/>
        <v>24</v>
      </c>
      <c r="I32" s="11" t="str">
        <f t="shared" si="2"/>
        <v>CA</v>
      </c>
      <c r="J32" s="6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12" t="str">
        <f t="shared" si="1"/>
        <v>02</v>
      </c>
      <c r="I33" s="12" t="str">
        <f t="shared" si="2"/>
        <v>CA</v>
      </c>
      <c r="J33" s="7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11" t="str">
        <f t="shared" si="1"/>
        <v>17</v>
      </c>
      <c r="I34" s="11" t="str">
        <f t="shared" si="2"/>
        <v>IN</v>
      </c>
      <c r="J34" s="6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12" t="str">
        <f t="shared" si="1"/>
        <v>09</v>
      </c>
      <c r="I35" s="12" t="str">
        <f t="shared" si="2"/>
        <v>FR</v>
      </c>
      <c r="J35" s="7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2026-07-25T01:38:51Z</dcterms:modified>
</cp:coreProperties>
</file>