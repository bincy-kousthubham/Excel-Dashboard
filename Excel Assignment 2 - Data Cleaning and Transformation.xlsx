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\Desktop\DA\Assignments\Excel Assignments\"/>
    </mc:Choice>
  </mc:AlternateContent>
  <xr:revisionPtr revIDLastSave="0" documentId="13_ncr:1_{D5210267-773F-4B26-AA40-FFA663E51A4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E3" i="2"/>
  <c r="F3" i="2" s="1"/>
  <c r="E4" i="2"/>
  <c r="F4" i="2" s="1"/>
  <c r="E5" i="2"/>
  <c r="F5" i="2" s="1"/>
  <c r="E6" i="2"/>
  <c r="F6" i="2" s="1"/>
  <c r="E7" i="2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1" i="2"/>
  <c r="F31" i="2" s="1"/>
  <c r="E32" i="2"/>
  <c r="F32" i="2" s="1"/>
  <c r="E2" i="2"/>
  <c r="F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2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R3" i="2"/>
  <c r="R2" i="2"/>
</calcChain>
</file>

<file path=xl/sharedStrings.xml><?xml version="1.0" encoding="utf-8"?>
<sst xmlns="http://schemas.openxmlformats.org/spreadsheetml/2006/main" count="228" uniqueCount="157">
  <si>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</si>
  <si>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</si>
  <si>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</si>
  <si>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</si>
  <si>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</si>
  <si>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</si>
  <si>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</si>
  <si>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</si>
  <si>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</si>
  <si>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</si>
  <si>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</si>
  <si>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</si>
  <si>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</si>
  <si>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</si>
  <si>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</si>
  <si>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</si>
  <si>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</si>
  <si>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</si>
  <si>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</si>
  <si>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</si>
  <si>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</si>
  <si>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</si>
  <si>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</si>
  <si>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</si>
  <si>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</si>
  <si>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</si>
  <si>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</si>
  <si>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</si>
  <si>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</si>
  <si>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</si>
  <si>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</si>
  <si>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</si>
  <si>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</si>
  <si>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</si>
  <si>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</si>
  <si>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</si>
  <si>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</si>
  <si>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</si>
  <si>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</si>
  <si>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</si>
  <si>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</si>
  <si>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</si>
  <si>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</si>
  <si>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</si>
  <si>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</si>
  <si>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</si>
  <si>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</si>
  <si>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</si>
  <si>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</si>
  <si>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</si>
  <si>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</si>
  <si>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</si>
  <si>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</si>
  <si>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</si>
  <si>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</si>
  <si>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</si>
  <si>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</si>
  <si>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</si>
  <si>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</si>
  <si>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</si>
  <si>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</si>
  <si>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</si>
  <si>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</si>
  <si>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</si>
  <si>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</si>
  <si>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</si>
  <si>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</si>
  <si>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</si>
  <si>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</si>
  <si>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</si>
  <si>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</si>
  <si>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</si>
  <si>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</si>
  <si>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</si>
  <si>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</si>
  <si>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</si>
  <si>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</si>
  <si>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</si>
  <si>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</si>
  <si>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</si>
  <si>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</si>
  <si>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</si>
  <si>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</si>
  <si>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</si>
  <si>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</si>
  <si>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</si>
  <si>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</si>
  <si>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</si>
  <si>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</si>
  <si>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</si>
  <si>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</si>
  <si>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</si>
  <si>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</si>
  <si>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</si>
  <si>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</si>
  <si>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</si>
  <si>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</si>
  <si>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</si>
  <si>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</si>
  <si>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</si>
  <si>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</si>
  <si>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</si>
  <si>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</si>
  <si>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</si>
  <si>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</si>
  <si>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</si>
  <si>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</si>
  <si>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</si>
  <si>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</si>
  <si>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</si>
  <si>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</si>
  <si>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</si>
  <si>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Cleaned Price</t>
  </si>
  <si>
    <t>Blanks in Price</t>
  </si>
  <si>
    <t>Blanks in Category</t>
  </si>
  <si>
    <t>Cleaned Category</t>
  </si>
  <si>
    <t>Duplicates</t>
  </si>
  <si>
    <t>Manufacturing date</t>
  </si>
  <si>
    <t>Country Code</t>
  </si>
  <si>
    <t>Product Brand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</si>
  <si>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</si>
  <si>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</si>
  <si>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</si>
  <si>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</si>
  <si>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</si>
  <si>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</si>
  <si>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</si>
  <si>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</si>
  <si>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</si>
  <si>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</si>
  <si>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</si>
  <si>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</si>
  <si>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</si>
  <si>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</si>
  <si>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</si>
  <si>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</si>
  <si>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</si>
  <si>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</si>
  <si>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</si>
  <si>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</si>
  <si>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</si>
  <si>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</si>
  <si>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</si>
  <si>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</si>
  <si>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Date Formatting</t>
  </si>
  <si>
    <t>Currency formatting</t>
  </si>
  <si>
    <t>Column1</t>
  </si>
  <si>
    <t>Column2</t>
  </si>
  <si>
    <t>Text to Columns for Splitting</t>
  </si>
  <si>
    <t>Concatenate for merging</t>
  </si>
  <si>
    <t>Remove duplicates</t>
  </si>
  <si>
    <t>Find and Replace for correcting inconsistent data</t>
  </si>
  <si>
    <t>IF, ISBLANK, AVERAGE for missing values</t>
  </si>
  <si>
    <t>Table Formatting</t>
  </si>
  <si>
    <t>Features/Tools and Functions used</t>
  </si>
  <si>
    <t>Conditional Formatting - Data bar, Highlight cell rules</t>
  </si>
  <si>
    <t>Number Formatting - Date, Currency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</si>
</sst>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4DD0E1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5" fontId="5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3" borderId="1" xfId="0" applyFont="1" applyFill="1" applyBorder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₹&quot;\ #,##0.00"/>
      <alignment horizontal="left" vertical="bottom" textRotation="0" wrapText="0" indent="0" justifyLastLine="0" shrinkToFit="0" readingOrder="0"/>
    </dxf>
    <dxf>
      <numFmt numFmtId="164" formatCode="&quot;₹&quot;\ #,##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0" formatCode="dd/mmm/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FFC000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BF0B9-9551-43EE-8E08-E0E4AEFA33EA}" name="Table1" displayName="Table1" ref="A1:O32" totalsRowShown="0" headerRowDxfId="17">
  <tableColumns count="15">
    <tableColumn id="1" xr3:uid="{2BEEDBBF-5D45-4B72-8A6C-9E471FF90561}" name="Product ID" dataDxfId="16"/>
    <tableColumn id="2" xr3:uid="{D0ED63D8-F7A1-4409-83E7-83BA3CF84641}" name="Column1" dataDxfId="15"/>
    <tableColumn id="3" xr3:uid="{439F7457-EFF2-4E7A-985C-0D66D684D8B7}" name="Column2" dataDxfId="14"/>
    <tableColumn id="4" xr3:uid="{D3D1399B-F188-43DD-8378-3583A9CE93A6}" name="Country Code" dataDxfId="13"/>
    <tableColumn id="5" xr3:uid="{2540689F-BA67-4CED-8973-E140C25F0EB0}" name="Manufacturing date" dataDxfId="12">
      <calculatedColumnFormula>CONCATENATE(B2,"-",C2)</calculatedColumnFormula>
    </tableColumn>
    <tableColumn id="6" xr3:uid="{88BA1E8E-7AD9-498F-BA15-0D0A6A4E4AE9}" name="Date Formatting" dataDxfId="11">
      <calculatedColumnFormula>DATEVALUE(E2)</calculatedColumnFormula>
    </tableColumn>
    <tableColumn id="7" xr3:uid="{C3900F92-9954-4730-9854-DF9679CB5A01}" name="Product Name" dataDxfId="10"/>
    <tableColumn id="8" xr3:uid="{7A45D4B1-CD83-44DC-AD69-B8508B0F6B74}" name="Brand Name" dataDxfId="9"/>
    <tableColumn id="9" xr3:uid="{2E0C509F-7222-45E3-A79A-B6A051C27333}" name="Price ($)" dataDxfId="8"/>
    <tableColumn id="10" xr3:uid="{07528DE1-1A47-4F55-A29E-FE66004BA487}" name="Quantity" dataDxfId="7"/>
    <tableColumn id="11" xr3:uid="{2B022344-0309-42A8-8804-0CAFC1141DD3}" name="Category" dataDxfId="6"/>
    <tableColumn id="12" xr3:uid="{7CCABEA0-1777-4317-93EB-AA3B19818A6A}" name="Cleaned Price" dataDxfId="5">
      <calculatedColumnFormula>IF(ISBLANK(I2),AVERAGE(I2:I35),I2)</calculatedColumnFormula>
    </tableColumn>
    <tableColumn id="13" xr3:uid="{DB91AAF5-B5AC-4994-8E92-4BA251647561}" name="Currency formatting" dataDxfId="4"/>
    <tableColumn id="14" xr3:uid="{38122B23-4759-4355-A6CA-D71EA7551512}" name="Cleaned Category" dataDxfId="3">
      <calculatedColumnFormula>IF(ISBLANK(K2),"Miscellaneous",K2)</calculatedColumnFormula>
    </tableColumn>
    <tableColumn id="15" xr3:uid="{2437E59E-0250-40F6-A08B-286F070B5B02}" name="Product Brand" dataDxfId="2">
      <calculatedColumnFormula>CONCATENATE(H2," ",G2)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>
      <selection activeCell="C8" sqref="C8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000"/>
  <sheetViews>
    <sheetView tabSelected="1" workbookViewId="0"/>
  </sheetViews>
  <sheetFormatPr defaultColWidth="12.6328125" defaultRowHeight="15" customHeight="1" x14ac:dyDescent="0.25"/>
  <cols>
    <col min="1" max="1" width="10.54296875" bestFit="1" customWidth="1"/>
    <col min="2" max="3" width="8.36328125" bestFit="1" customWidth="1"/>
    <col min="4" max="4" width="12.7265625" bestFit="1" customWidth="1"/>
    <col min="5" max="5" width="17.7265625" bestFit="1" customWidth="1"/>
    <col min="6" max="6" width="14.7265625" bestFit="1" customWidth="1"/>
    <col min="7" max="7" width="13.36328125" bestFit="1" customWidth="1"/>
    <col min="8" max="8" width="11.36328125" bestFit="1" customWidth="1"/>
    <col min="9" max="9" width="8" bestFit="1" customWidth="1"/>
    <col min="10" max="10" width="8.1796875" bestFit="1" customWidth="1"/>
    <col min="11" max="11" width="10.54296875" bestFit="1" customWidth="1"/>
    <col min="12" max="12" width="12.6328125" bestFit="1" customWidth="1"/>
    <col min="13" max="13" width="18.36328125" bestFit="1" customWidth="1"/>
    <col min="14" max="14" width="16.1796875" bestFit="1" customWidth="1"/>
    <col min="15" max="15" width="21.1796875" bestFit="1" customWidth="1"/>
    <col min="16" max="16" width="7.90625" customWidth="1"/>
    <col min="17" max="17" width="44.90625" bestFit="1" customWidth="1"/>
    <col min="18" max="18" width="1.81640625" bestFit="1" customWidth="1"/>
  </cols>
  <sheetData>
    <row r="1" spans="1:20" ht="15.75" customHeight="1" x14ac:dyDescent="0.3">
      <c r="A1" s="12" t="s">
        <v>19</v>
      </c>
      <c r="B1" s="12" t="s">
        <v>146</v>
      </c>
      <c r="C1" s="12" t="s">
        <v>147</v>
      </c>
      <c r="D1" s="7" t="s">
        <v>118</v>
      </c>
      <c r="E1" s="7" t="s">
        <v>117</v>
      </c>
      <c r="F1" s="7" t="s">
        <v>144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7" t="s">
        <v>112</v>
      </c>
      <c r="M1" s="7" t="s">
        <v>145</v>
      </c>
      <c r="N1" s="7" t="s">
        <v>115</v>
      </c>
      <c r="O1" s="7" t="s">
        <v>119</v>
      </c>
      <c r="P1" s="8"/>
      <c r="Q1" s="8"/>
    </row>
    <row r="2" spans="1:20" ht="15.75" customHeight="1" x14ac:dyDescent="0.3">
      <c r="A2" s="9" t="s">
        <v>25</v>
      </c>
      <c r="B2" s="9">
        <v>28</v>
      </c>
      <c r="C2" s="9" t="s">
        <v>120</v>
      </c>
      <c r="D2" s="9" t="s">
        <v>121</v>
      </c>
      <c r="E2" s="9" t="str">
        <f>CONCATENATE(B2,"-",C2)</f>
        <v>28-JAN</v>
      </c>
      <c r="F2" s="10">
        <f>DATEVALUE(E2)</f>
        <v>46050</v>
      </c>
      <c r="G2" s="9" t="s">
        <v>58</v>
      </c>
      <c r="H2" s="9" t="s">
        <v>26</v>
      </c>
      <c r="I2" s="9">
        <v>1000</v>
      </c>
      <c r="J2" s="9">
        <v>30</v>
      </c>
      <c r="K2" s="9" t="s">
        <v>27</v>
      </c>
      <c r="L2" s="11">
        <f t="shared" ref="L2:L32" si="0">IF(ISBLANK(I2),AVERAGE(I2:I35),I2)</f>
        <v>1000</v>
      </c>
      <c r="M2" s="11">
        <v>1000</v>
      </c>
      <c r="N2" s="8" t="str">
        <f>IF(ISBLANK(K2),"Miscellaneous",K2)</f>
        <v>Electronics</v>
      </c>
      <c r="O2" s="8" t="str">
        <f>CONCATENATE(H2," ",G2)</f>
        <v>Dell Laptop</v>
      </c>
      <c r="Q2" s="14" t="s">
        <v>113</v>
      </c>
      <c r="R2" s="14">
        <f>COUNTBLANK(I2:I35)</f>
        <v>6</v>
      </c>
    </row>
    <row r="3" spans="1:20" ht="15.75" customHeight="1" x14ac:dyDescent="0.3">
      <c r="A3" s="9" t="s">
        <v>28</v>
      </c>
      <c r="B3" s="9">
        <v>15</v>
      </c>
      <c r="C3" s="9" t="s">
        <v>122</v>
      </c>
      <c r="D3" s="9" t="s">
        <v>121</v>
      </c>
      <c r="E3" s="9" t="str">
        <f t="shared" ref="E3:E32" si="1">CONCATENATE(B3,"-",C3)</f>
        <v>15-FEB</v>
      </c>
      <c r="F3" s="10">
        <f t="shared" ref="F3:F32" si="2">DATEVALUE(E3)</f>
        <v>46068</v>
      </c>
      <c r="G3" s="9" t="s">
        <v>29</v>
      </c>
      <c r="H3" s="9" t="s">
        <v>30</v>
      </c>
      <c r="I3" s="9">
        <v>80</v>
      </c>
      <c r="J3" s="9">
        <v>15</v>
      </c>
      <c r="K3" s="9" t="s">
        <v>31</v>
      </c>
      <c r="L3" s="11">
        <f t="shared" si="0"/>
        <v>80</v>
      </c>
      <c r="M3" s="11">
        <v>80</v>
      </c>
      <c r="N3" s="8" t="str">
        <f t="shared" ref="N3:N32" si="3">IF(ISBLANK(K3),"Miscellaneous",K3)</f>
        <v>Fashion</v>
      </c>
      <c r="O3" s="8" t="str">
        <f t="shared" ref="O3:O32" si="4">CONCATENATE(H3," ",G3)</f>
        <v>Nike Sneakers</v>
      </c>
      <c r="Q3" s="15" t="s">
        <v>114</v>
      </c>
      <c r="R3" s="15">
        <f>COUNTBLANK(K2:K35)</f>
        <v>7</v>
      </c>
      <c r="S3" s="5"/>
      <c r="T3" s="5"/>
    </row>
    <row r="4" spans="1:20" ht="15.75" customHeight="1" x14ac:dyDescent="0.3">
      <c r="A4" s="9" t="s">
        <v>32</v>
      </c>
      <c r="B4" s="9">
        <v>3</v>
      </c>
      <c r="C4" s="9" t="s">
        <v>123</v>
      </c>
      <c r="D4" s="9" t="s">
        <v>121</v>
      </c>
      <c r="E4" s="9" t="str">
        <f t="shared" si="1"/>
        <v>3-MAR</v>
      </c>
      <c r="F4" s="10">
        <f t="shared" si="2"/>
        <v>46084</v>
      </c>
      <c r="G4" s="9" t="s">
        <v>33</v>
      </c>
      <c r="H4" s="9" t="s">
        <v>34</v>
      </c>
      <c r="I4" s="9">
        <v>130</v>
      </c>
      <c r="J4" s="9">
        <v>40</v>
      </c>
      <c r="K4" s="9" t="s">
        <v>35</v>
      </c>
      <c r="L4" s="11">
        <f t="shared" si="0"/>
        <v>130</v>
      </c>
      <c r="M4" s="11">
        <v>130</v>
      </c>
      <c r="N4" s="8" t="str">
        <f t="shared" si="3"/>
        <v>Kitchen</v>
      </c>
      <c r="O4" s="8" t="str">
        <f t="shared" si="4"/>
        <v>Keurig Coffee Maker</v>
      </c>
      <c r="Q4" s="15" t="s">
        <v>116</v>
      </c>
      <c r="R4" s="15">
        <v>3</v>
      </c>
      <c r="S4" s="5"/>
      <c r="T4" s="5"/>
    </row>
    <row r="5" spans="1:20" ht="15.75" customHeight="1" x14ac:dyDescent="0.25">
      <c r="A5" s="9" t="s">
        <v>36</v>
      </c>
      <c r="B5" s="9">
        <v>11</v>
      </c>
      <c r="C5" s="9" t="s">
        <v>124</v>
      </c>
      <c r="D5" s="9" t="s">
        <v>121</v>
      </c>
      <c r="E5" s="9" t="str">
        <f t="shared" si="1"/>
        <v>11-APR</v>
      </c>
      <c r="F5" s="10">
        <f t="shared" si="2"/>
        <v>46123</v>
      </c>
      <c r="G5" s="9" t="s">
        <v>92</v>
      </c>
      <c r="H5" s="9" t="s">
        <v>37</v>
      </c>
      <c r="I5" s="9">
        <v>900</v>
      </c>
      <c r="J5" s="9">
        <v>25</v>
      </c>
      <c r="K5" s="9" t="s">
        <v>27</v>
      </c>
      <c r="L5" s="11">
        <f t="shared" si="0"/>
        <v>900</v>
      </c>
      <c r="M5" s="11">
        <v>900</v>
      </c>
      <c r="N5" s="8" t="str">
        <f t="shared" si="3"/>
        <v>Electronics</v>
      </c>
      <c r="O5" s="8" t="str">
        <f t="shared" si="4"/>
        <v>Samsung Smartphone</v>
      </c>
      <c r="P5" s="9"/>
      <c r="R5" s="5"/>
      <c r="S5" s="5"/>
      <c r="T5" s="5"/>
    </row>
    <row r="6" spans="1:20" ht="15.75" customHeight="1" x14ac:dyDescent="0.3">
      <c r="A6" s="9" t="s">
        <v>38</v>
      </c>
      <c r="B6" s="9">
        <v>22</v>
      </c>
      <c r="C6" s="9" t="s">
        <v>125</v>
      </c>
      <c r="D6" s="9" t="s">
        <v>121</v>
      </c>
      <c r="E6" s="9" t="str">
        <f t="shared" si="1"/>
        <v>22-MAY</v>
      </c>
      <c r="F6" s="10">
        <f t="shared" si="2"/>
        <v>46164</v>
      </c>
      <c r="G6" s="9" t="s">
        <v>39</v>
      </c>
      <c r="H6" s="9" t="s">
        <v>40</v>
      </c>
      <c r="I6" s="9">
        <v>70</v>
      </c>
      <c r="J6" s="9">
        <v>20</v>
      </c>
      <c r="K6" s="9"/>
      <c r="L6" s="11">
        <f t="shared" si="0"/>
        <v>70</v>
      </c>
      <c r="M6" s="11">
        <v>70</v>
      </c>
      <c r="N6" s="8" t="str">
        <f t="shared" si="3"/>
        <v>Miscellaneous</v>
      </c>
      <c r="O6" s="8" t="str">
        <f t="shared" si="4"/>
        <v>North Face Backpack</v>
      </c>
      <c r="Q6" s="16" t="s">
        <v>154</v>
      </c>
    </row>
    <row r="7" spans="1:20" ht="15.75" customHeight="1" x14ac:dyDescent="0.25">
      <c r="A7" s="9" t="s">
        <v>41</v>
      </c>
      <c r="B7" s="9">
        <v>7</v>
      </c>
      <c r="C7" s="9" t="s">
        <v>126</v>
      </c>
      <c r="D7" s="9" t="s">
        <v>127</v>
      </c>
      <c r="E7" s="9" t="str">
        <f t="shared" si="1"/>
        <v>7-JUN</v>
      </c>
      <c r="F7" s="10">
        <f t="shared" si="2"/>
        <v>46180</v>
      </c>
      <c r="G7" s="9" t="s">
        <v>42</v>
      </c>
      <c r="H7" s="9" t="s">
        <v>43</v>
      </c>
      <c r="I7" s="9"/>
      <c r="J7" s="9">
        <v>45</v>
      </c>
      <c r="K7" s="9" t="s">
        <v>27</v>
      </c>
      <c r="L7" s="11">
        <f t="shared" si="0"/>
        <v>267.82608695652175</v>
      </c>
      <c r="M7" s="11">
        <v>267.82608695652175</v>
      </c>
      <c r="N7" s="8" t="str">
        <f t="shared" si="3"/>
        <v>Electronics</v>
      </c>
      <c r="O7" s="8" t="str">
        <f t="shared" si="4"/>
        <v>Sony Headphones</v>
      </c>
      <c r="Q7" s="13" t="s">
        <v>148</v>
      </c>
    </row>
    <row r="8" spans="1:20" ht="15.75" customHeight="1" x14ac:dyDescent="0.25">
      <c r="A8" s="9" t="s">
        <v>44</v>
      </c>
      <c r="B8" s="9">
        <v>19</v>
      </c>
      <c r="C8" s="9" t="s">
        <v>128</v>
      </c>
      <c r="D8" s="9" t="s">
        <v>127</v>
      </c>
      <c r="E8" s="9" t="str">
        <f t="shared" si="1"/>
        <v>19-JUL</v>
      </c>
      <c r="F8" s="10">
        <f t="shared" si="2"/>
        <v>46222</v>
      </c>
      <c r="G8" s="9" t="s">
        <v>45</v>
      </c>
      <c r="H8" s="9" t="s">
        <v>46</v>
      </c>
      <c r="I8" s="9">
        <v>30</v>
      </c>
      <c r="J8" s="9">
        <v>5</v>
      </c>
      <c r="K8" s="9" t="s">
        <v>31</v>
      </c>
      <c r="L8" s="11">
        <f t="shared" si="0"/>
        <v>30</v>
      </c>
      <c r="M8" s="11">
        <v>30</v>
      </c>
      <c r="N8" s="8" t="str">
        <f t="shared" si="3"/>
        <v>Fashion</v>
      </c>
      <c r="O8" s="8" t="str">
        <f t="shared" si="4"/>
        <v>Adidas T-shirt</v>
      </c>
      <c r="Q8" s="13" t="s">
        <v>149</v>
      </c>
    </row>
    <row r="9" spans="1:20" ht="15.75" customHeight="1" x14ac:dyDescent="0.25">
      <c r="A9" s="9" t="s">
        <v>47</v>
      </c>
      <c r="B9" s="9">
        <v>23</v>
      </c>
      <c r="C9" s="9" t="s">
        <v>129</v>
      </c>
      <c r="D9" s="9" t="s">
        <v>127</v>
      </c>
      <c r="E9" s="9" t="str">
        <f t="shared" si="1"/>
        <v>23-AUG</v>
      </c>
      <c r="F9" s="10">
        <f t="shared" si="2"/>
        <v>46257</v>
      </c>
      <c r="G9" s="9" t="s">
        <v>48</v>
      </c>
      <c r="H9" s="9" t="s">
        <v>49</v>
      </c>
      <c r="I9" s="9">
        <v>90</v>
      </c>
      <c r="J9" s="9">
        <v>35</v>
      </c>
      <c r="K9" s="9" t="s">
        <v>35</v>
      </c>
      <c r="L9" s="11">
        <f t="shared" si="0"/>
        <v>90</v>
      </c>
      <c r="M9" s="11">
        <v>90</v>
      </c>
      <c r="N9" s="8" t="str">
        <f t="shared" si="3"/>
        <v>Kitchen</v>
      </c>
      <c r="O9" s="8" t="str">
        <f t="shared" si="4"/>
        <v>Ninja Blender</v>
      </c>
      <c r="Q9" s="13" t="s">
        <v>150</v>
      </c>
    </row>
    <row r="10" spans="1:20" ht="15.75" customHeight="1" x14ac:dyDescent="0.25">
      <c r="A10" s="9" t="s">
        <v>50</v>
      </c>
      <c r="B10" s="9">
        <v>5</v>
      </c>
      <c r="C10" s="9" t="s">
        <v>130</v>
      </c>
      <c r="D10" s="9" t="s">
        <v>127</v>
      </c>
      <c r="E10" s="9" t="str">
        <f t="shared" si="1"/>
        <v>5-SEP</v>
      </c>
      <c r="F10" s="10">
        <f t="shared" si="2"/>
        <v>46270</v>
      </c>
      <c r="G10" s="9" t="s">
        <v>51</v>
      </c>
      <c r="H10" s="9" t="s">
        <v>52</v>
      </c>
      <c r="I10" s="9">
        <v>500</v>
      </c>
      <c r="J10" s="9">
        <v>50</v>
      </c>
      <c r="K10" s="9" t="s">
        <v>27</v>
      </c>
      <c r="L10" s="11">
        <f t="shared" si="0"/>
        <v>500</v>
      </c>
      <c r="M10" s="11">
        <v>500</v>
      </c>
      <c r="N10" s="8" t="str">
        <f t="shared" si="3"/>
        <v>Electronics</v>
      </c>
      <c r="O10" s="8" t="str">
        <f t="shared" si="4"/>
        <v>Apple Tablet</v>
      </c>
      <c r="Q10" s="13" t="s">
        <v>151</v>
      </c>
    </row>
    <row r="11" spans="1:20" ht="15.75" customHeight="1" x14ac:dyDescent="0.25">
      <c r="A11" s="9" t="s">
        <v>53</v>
      </c>
      <c r="B11" s="9">
        <v>14</v>
      </c>
      <c r="C11" s="9" t="s">
        <v>131</v>
      </c>
      <c r="D11" s="9" t="s">
        <v>127</v>
      </c>
      <c r="E11" s="9" t="str">
        <f t="shared" si="1"/>
        <v>14-OCT</v>
      </c>
      <c r="F11" s="10">
        <f t="shared" si="2"/>
        <v>46309</v>
      </c>
      <c r="G11" s="9" t="s">
        <v>54</v>
      </c>
      <c r="H11" s="9" t="s">
        <v>55</v>
      </c>
      <c r="I11" s="9">
        <v>130</v>
      </c>
      <c r="J11" s="9">
        <v>10</v>
      </c>
      <c r="K11" s="9" t="s">
        <v>56</v>
      </c>
      <c r="L11" s="11">
        <f t="shared" si="0"/>
        <v>130</v>
      </c>
      <c r="M11" s="11">
        <v>130</v>
      </c>
      <c r="N11" s="8" t="str">
        <f t="shared" si="3"/>
        <v>Outdoor</v>
      </c>
      <c r="O11" s="8" t="str">
        <f t="shared" si="4"/>
        <v>Timberland Hiking Boots</v>
      </c>
      <c r="Q11" s="13" t="s">
        <v>152</v>
      </c>
    </row>
    <row r="12" spans="1:20" ht="15.75" customHeight="1" x14ac:dyDescent="0.25">
      <c r="A12" s="9" t="s">
        <v>57</v>
      </c>
      <c r="B12" s="9">
        <v>17</v>
      </c>
      <c r="C12" s="9" t="s">
        <v>126</v>
      </c>
      <c r="D12" s="9" t="s">
        <v>132</v>
      </c>
      <c r="E12" s="9" t="str">
        <f t="shared" si="1"/>
        <v>17-JUN</v>
      </c>
      <c r="F12" s="10">
        <f t="shared" si="2"/>
        <v>46190</v>
      </c>
      <c r="G12" s="9" t="s">
        <v>58</v>
      </c>
      <c r="H12" s="9" t="s">
        <v>59</v>
      </c>
      <c r="I12" s="9">
        <v>950</v>
      </c>
      <c r="J12" s="9">
        <v>25</v>
      </c>
      <c r="K12" s="9" t="s">
        <v>27</v>
      </c>
      <c r="L12" s="11">
        <f t="shared" si="0"/>
        <v>950</v>
      </c>
      <c r="M12" s="11">
        <v>950</v>
      </c>
      <c r="N12" s="8" t="str">
        <f t="shared" si="3"/>
        <v>Electronics</v>
      </c>
      <c r="O12" s="8" t="str">
        <f t="shared" si="4"/>
        <v>HP Laptop</v>
      </c>
      <c r="Q12" s="13" t="s">
        <v>155</v>
      </c>
    </row>
    <row r="13" spans="1:20" ht="15.75" customHeight="1" x14ac:dyDescent="0.25">
      <c r="A13" s="9" t="s">
        <v>60</v>
      </c>
      <c r="B13" s="9">
        <v>25</v>
      </c>
      <c r="C13" s="9" t="s">
        <v>133</v>
      </c>
      <c r="D13" s="9" t="s">
        <v>134</v>
      </c>
      <c r="E13" s="9" t="str">
        <f t="shared" si="1"/>
        <v>25-NOV</v>
      </c>
      <c r="F13" s="10">
        <f t="shared" si="2"/>
        <v>46351</v>
      </c>
      <c r="G13" s="9" t="s">
        <v>29</v>
      </c>
      <c r="H13" s="9" t="s">
        <v>46</v>
      </c>
      <c r="I13" s="9">
        <v>90</v>
      </c>
      <c r="J13" s="9">
        <v>40</v>
      </c>
      <c r="K13" s="9"/>
      <c r="L13" s="11">
        <f t="shared" si="0"/>
        <v>90</v>
      </c>
      <c r="M13" s="11">
        <v>90</v>
      </c>
      <c r="N13" s="8" t="str">
        <f t="shared" si="3"/>
        <v>Miscellaneous</v>
      </c>
      <c r="O13" s="8" t="str">
        <f t="shared" si="4"/>
        <v>Adidas Sneakers</v>
      </c>
      <c r="Q13" s="13" t="s">
        <v>156</v>
      </c>
    </row>
    <row r="14" spans="1:20" ht="15.75" customHeight="1" x14ac:dyDescent="0.25">
      <c r="A14" s="9" t="s">
        <v>61</v>
      </c>
      <c r="B14" s="9">
        <v>8</v>
      </c>
      <c r="C14" s="9" t="s">
        <v>135</v>
      </c>
      <c r="D14" s="9" t="s">
        <v>136</v>
      </c>
      <c r="E14" s="9" t="str">
        <f t="shared" si="1"/>
        <v>8-DEC</v>
      </c>
      <c r="F14" s="10">
        <f t="shared" si="2"/>
        <v>46364</v>
      </c>
      <c r="G14" s="9" t="s">
        <v>33</v>
      </c>
      <c r="H14" s="9" t="s">
        <v>62</v>
      </c>
      <c r="I14" s="9">
        <v>120</v>
      </c>
      <c r="J14" s="9">
        <v>35</v>
      </c>
      <c r="K14" s="9"/>
      <c r="L14" s="11">
        <f t="shared" si="0"/>
        <v>120</v>
      </c>
      <c r="M14" s="11">
        <v>120</v>
      </c>
      <c r="N14" s="8" t="str">
        <f t="shared" si="3"/>
        <v>Miscellaneous</v>
      </c>
      <c r="O14" s="8" t="str">
        <f t="shared" si="4"/>
        <v>Nespresso Coffee Maker</v>
      </c>
      <c r="Q14" s="13" t="s">
        <v>153</v>
      </c>
    </row>
    <row r="15" spans="1:20" ht="15.75" customHeight="1" x14ac:dyDescent="0.25">
      <c r="A15" s="9" t="s">
        <v>63</v>
      </c>
      <c r="B15" s="9">
        <v>18</v>
      </c>
      <c r="C15" s="9" t="s">
        <v>122</v>
      </c>
      <c r="D15" s="9" t="s">
        <v>137</v>
      </c>
      <c r="E15" s="9" t="str">
        <f t="shared" si="1"/>
        <v>18-FEB</v>
      </c>
      <c r="F15" s="10">
        <f t="shared" si="2"/>
        <v>46071</v>
      </c>
      <c r="G15" s="9" t="s">
        <v>64</v>
      </c>
      <c r="H15" s="9" t="s">
        <v>65</v>
      </c>
      <c r="I15" s="9">
        <v>150</v>
      </c>
      <c r="J15" s="9">
        <v>15</v>
      </c>
      <c r="K15" s="9" t="s">
        <v>27</v>
      </c>
      <c r="L15" s="11">
        <f t="shared" si="0"/>
        <v>150</v>
      </c>
      <c r="M15" s="11">
        <v>150</v>
      </c>
      <c r="N15" s="8" t="str">
        <f t="shared" si="3"/>
        <v>Electronics</v>
      </c>
      <c r="O15" s="8" t="str">
        <f t="shared" si="4"/>
        <v>Fitbit Smartwatch</v>
      </c>
      <c r="P15" s="8"/>
      <c r="Q15" s="8"/>
    </row>
    <row r="16" spans="1:20" ht="15.75" customHeight="1" x14ac:dyDescent="0.25">
      <c r="A16" s="9" t="s">
        <v>66</v>
      </c>
      <c r="B16" s="9">
        <v>16</v>
      </c>
      <c r="C16" s="9" t="s">
        <v>124</v>
      </c>
      <c r="D16" s="9" t="s">
        <v>138</v>
      </c>
      <c r="E16" s="9" t="str">
        <f t="shared" si="1"/>
        <v>16-APR</v>
      </c>
      <c r="F16" s="10">
        <f t="shared" si="2"/>
        <v>46128</v>
      </c>
      <c r="G16" s="9" t="s">
        <v>42</v>
      </c>
      <c r="H16" s="9" t="s">
        <v>67</v>
      </c>
      <c r="I16" s="9">
        <v>250</v>
      </c>
      <c r="J16" s="9">
        <v>20</v>
      </c>
      <c r="K16" s="9" t="s">
        <v>27</v>
      </c>
      <c r="L16" s="11">
        <f t="shared" si="0"/>
        <v>250</v>
      </c>
      <c r="M16" s="11">
        <v>250</v>
      </c>
      <c r="N16" s="8" t="str">
        <f t="shared" si="3"/>
        <v>Electronics</v>
      </c>
      <c r="O16" s="8" t="str">
        <f t="shared" si="4"/>
        <v>Bose Headphones</v>
      </c>
      <c r="P16" s="8"/>
      <c r="Q16" s="8"/>
    </row>
    <row r="17" spans="1:17" ht="15.75" customHeight="1" x14ac:dyDescent="0.25">
      <c r="A17" s="9" t="s">
        <v>68</v>
      </c>
      <c r="B17" s="9">
        <v>21</v>
      </c>
      <c r="C17" s="9" t="s">
        <v>129</v>
      </c>
      <c r="D17" s="9" t="s">
        <v>137</v>
      </c>
      <c r="E17" s="9" t="str">
        <f t="shared" si="1"/>
        <v>21-AUG</v>
      </c>
      <c r="F17" s="10">
        <f t="shared" si="2"/>
        <v>46255</v>
      </c>
      <c r="G17" s="9" t="s">
        <v>69</v>
      </c>
      <c r="H17" s="9" t="s">
        <v>70</v>
      </c>
      <c r="I17" s="9">
        <v>50</v>
      </c>
      <c r="J17" s="9">
        <v>35</v>
      </c>
      <c r="K17" s="9" t="s">
        <v>71</v>
      </c>
      <c r="L17" s="11">
        <f t="shared" si="0"/>
        <v>50</v>
      </c>
      <c r="M17" s="11">
        <v>50</v>
      </c>
      <c r="N17" s="8" t="str">
        <f t="shared" si="3"/>
        <v>Accessories</v>
      </c>
      <c r="O17" s="8" t="str">
        <f t="shared" si="4"/>
        <v>Samsonite Laptop Bag</v>
      </c>
      <c r="P17" s="8"/>
      <c r="Q17" s="8"/>
    </row>
    <row r="18" spans="1:17" ht="15.75" customHeight="1" x14ac:dyDescent="0.25">
      <c r="A18" s="9" t="s">
        <v>72</v>
      </c>
      <c r="B18" s="9">
        <v>20</v>
      </c>
      <c r="C18" s="9" t="s">
        <v>129</v>
      </c>
      <c r="D18" s="9" t="s">
        <v>139</v>
      </c>
      <c r="E18" s="9" t="str">
        <f t="shared" si="1"/>
        <v>20-AUG</v>
      </c>
      <c r="F18" s="10">
        <f t="shared" si="2"/>
        <v>46254</v>
      </c>
      <c r="G18" s="9" t="s">
        <v>64</v>
      </c>
      <c r="H18" s="9" t="s">
        <v>73</v>
      </c>
      <c r="I18" s="9">
        <v>160</v>
      </c>
      <c r="J18" s="9">
        <v>15</v>
      </c>
      <c r="K18" s="9" t="s">
        <v>27</v>
      </c>
      <c r="L18" s="11">
        <f t="shared" si="0"/>
        <v>160</v>
      </c>
      <c r="M18" s="11">
        <v>160</v>
      </c>
      <c r="N18" s="8" t="str">
        <f t="shared" si="3"/>
        <v>Electronics</v>
      </c>
      <c r="O18" s="8" t="str">
        <f t="shared" si="4"/>
        <v>Huawei Smartwatch</v>
      </c>
      <c r="P18" s="8"/>
      <c r="Q18" s="8"/>
    </row>
    <row r="19" spans="1:17" ht="15.75" customHeight="1" x14ac:dyDescent="0.25">
      <c r="A19" s="9" t="s">
        <v>74</v>
      </c>
      <c r="B19" s="9">
        <v>27</v>
      </c>
      <c r="C19" s="9" t="s">
        <v>120</v>
      </c>
      <c r="D19" s="9" t="s">
        <v>140</v>
      </c>
      <c r="E19" s="9" t="str">
        <f t="shared" si="1"/>
        <v>27-JAN</v>
      </c>
      <c r="F19" s="10">
        <f t="shared" si="2"/>
        <v>46049</v>
      </c>
      <c r="G19" s="9" t="s">
        <v>58</v>
      </c>
      <c r="H19" s="9" t="s">
        <v>75</v>
      </c>
      <c r="I19" s="9">
        <v>980</v>
      </c>
      <c r="J19" s="9">
        <v>10</v>
      </c>
      <c r="K19" s="9" t="s">
        <v>27</v>
      </c>
      <c r="L19" s="11">
        <f t="shared" si="0"/>
        <v>980</v>
      </c>
      <c r="M19" s="11">
        <v>980</v>
      </c>
      <c r="N19" s="8" t="str">
        <f t="shared" si="3"/>
        <v>Electronics</v>
      </c>
      <c r="O19" s="8" t="str">
        <f t="shared" si="4"/>
        <v>Asus Laptop</v>
      </c>
      <c r="P19" s="8"/>
      <c r="Q19" s="8"/>
    </row>
    <row r="20" spans="1:17" ht="15.75" customHeight="1" x14ac:dyDescent="0.25">
      <c r="A20" s="9" t="s">
        <v>76</v>
      </c>
      <c r="B20" s="9">
        <v>1</v>
      </c>
      <c r="C20" s="9" t="s">
        <v>123</v>
      </c>
      <c r="D20" s="9" t="s">
        <v>127</v>
      </c>
      <c r="E20" s="9" t="str">
        <f t="shared" si="1"/>
        <v>1-MAR</v>
      </c>
      <c r="F20" s="10">
        <f t="shared" si="2"/>
        <v>46082</v>
      </c>
      <c r="G20" s="9" t="s">
        <v>77</v>
      </c>
      <c r="H20" s="9" t="s">
        <v>78</v>
      </c>
      <c r="I20" s="9">
        <v>150</v>
      </c>
      <c r="J20" s="9">
        <v>15</v>
      </c>
      <c r="K20" s="9" t="s">
        <v>31</v>
      </c>
      <c r="L20" s="11">
        <f t="shared" si="0"/>
        <v>150</v>
      </c>
      <c r="M20" s="11">
        <v>150</v>
      </c>
      <c r="N20" s="8" t="str">
        <f t="shared" si="3"/>
        <v>Fashion</v>
      </c>
      <c r="O20" s="8" t="str">
        <f t="shared" si="4"/>
        <v>Oakley Sunglasses</v>
      </c>
      <c r="P20" s="8"/>
      <c r="Q20" s="8"/>
    </row>
    <row r="21" spans="1:17" ht="15.75" customHeight="1" x14ac:dyDescent="0.25">
      <c r="A21" s="9" t="s">
        <v>79</v>
      </c>
      <c r="B21" s="9">
        <v>14</v>
      </c>
      <c r="C21" s="9" t="s">
        <v>129</v>
      </c>
      <c r="D21" s="9" t="s">
        <v>121</v>
      </c>
      <c r="E21" s="9" t="str">
        <f t="shared" si="1"/>
        <v>14-AUG</v>
      </c>
      <c r="F21" s="10">
        <f t="shared" si="2"/>
        <v>46248</v>
      </c>
      <c r="G21" s="9" t="s">
        <v>80</v>
      </c>
      <c r="H21" s="9" t="s">
        <v>81</v>
      </c>
      <c r="I21" s="9"/>
      <c r="J21" s="9">
        <v>10</v>
      </c>
      <c r="K21" s="9" t="s">
        <v>56</v>
      </c>
      <c r="L21" s="11">
        <f t="shared" si="0"/>
        <v>251</v>
      </c>
      <c r="M21" s="11">
        <v>251</v>
      </c>
      <c r="N21" s="8" t="str">
        <f t="shared" si="3"/>
        <v>Outdoor</v>
      </c>
      <c r="O21" s="8" t="str">
        <f t="shared" si="4"/>
        <v>Coleman Camping Tent</v>
      </c>
      <c r="P21" s="8"/>
      <c r="Q21" s="8"/>
    </row>
    <row r="22" spans="1:17" ht="15.75" customHeight="1" x14ac:dyDescent="0.25">
      <c r="A22" s="9" t="s">
        <v>82</v>
      </c>
      <c r="B22" s="9">
        <v>14</v>
      </c>
      <c r="C22" s="9" t="s">
        <v>125</v>
      </c>
      <c r="D22" s="9" t="s">
        <v>141</v>
      </c>
      <c r="E22" s="9" t="str">
        <f t="shared" si="1"/>
        <v>14-MAY</v>
      </c>
      <c r="F22" s="10">
        <f t="shared" si="2"/>
        <v>46156</v>
      </c>
      <c r="G22" s="9" t="s">
        <v>83</v>
      </c>
      <c r="H22" s="9" t="s">
        <v>84</v>
      </c>
      <c r="I22" s="9">
        <v>700</v>
      </c>
      <c r="J22" s="9">
        <v>50</v>
      </c>
      <c r="K22" s="9" t="s">
        <v>27</v>
      </c>
      <c r="L22" s="11">
        <f t="shared" si="0"/>
        <v>700</v>
      </c>
      <c r="M22" s="11">
        <v>700</v>
      </c>
      <c r="N22" s="8" t="str">
        <f t="shared" si="3"/>
        <v>Electronics</v>
      </c>
      <c r="O22" s="8" t="str">
        <f t="shared" si="4"/>
        <v>Nikon Camera</v>
      </c>
      <c r="P22" s="8"/>
      <c r="Q22" s="8"/>
    </row>
    <row r="23" spans="1:17" ht="15.75" customHeight="1" x14ac:dyDescent="0.25">
      <c r="A23" s="9" t="s">
        <v>85</v>
      </c>
      <c r="B23" s="9">
        <v>9</v>
      </c>
      <c r="C23" s="9" t="s">
        <v>120</v>
      </c>
      <c r="D23" s="9" t="s">
        <v>137</v>
      </c>
      <c r="E23" s="9" t="str">
        <f t="shared" si="1"/>
        <v>9-JAN</v>
      </c>
      <c r="F23" s="10">
        <f t="shared" si="2"/>
        <v>46031</v>
      </c>
      <c r="G23" s="9" t="s">
        <v>86</v>
      </c>
      <c r="H23" s="9" t="s">
        <v>87</v>
      </c>
      <c r="I23" s="9">
        <v>80</v>
      </c>
      <c r="J23" s="9">
        <v>20</v>
      </c>
      <c r="K23" s="9" t="s">
        <v>35</v>
      </c>
      <c r="L23" s="11">
        <f t="shared" si="0"/>
        <v>80</v>
      </c>
      <c r="M23" s="11">
        <v>80</v>
      </c>
      <c r="N23" s="8" t="str">
        <f t="shared" si="3"/>
        <v>Kitchen</v>
      </c>
      <c r="O23" s="8" t="str">
        <f t="shared" si="4"/>
        <v>Panasonic Microwave</v>
      </c>
      <c r="P23" s="8"/>
      <c r="Q23" s="8"/>
    </row>
    <row r="24" spans="1:17" ht="15.75" customHeight="1" x14ac:dyDescent="0.25">
      <c r="A24" s="9" t="s">
        <v>88</v>
      </c>
      <c r="B24" s="9">
        <v>19</v>
      </c>
      <c r="C24" s="9" t="s">
        <v>128</v>
      </c>
      <c r="D24" s="9" t="s">
        <v>142</v>
      </c>
      <c r="E24" s="9" t="str">
        <f t="shared" si="1"/>
        <v>19-JUL</v>
      </c>
      <c r="F24" s="10">
        <f t="shared" si="2"/>
        <v>46222</v>
      </c>
      <c r="G24" s="9" t="s">
        <v>89</v>
      </c>
      <c r="H24" s="9" t="s">
        <v>90</v>
      </c>
      <c r="I24" s="9">
        <v>150</v>
      </c>
      <c r="J24" s="9">
        <v>30</v>
      </c>
      <c r="K24" s="9"/>
      <c r="L24" s="11">
        <f t="shared" si="0"/>
        <v>150</v>
      </c>
      <c r="M24" s="11">
        <v>150</v>
      </c>
      <c r="N24" s="8" t="str">
        <f t="shared" si="3"/>
        <v>Miscellaneous</v>
      </c>
      <c r="O24" s="8" t="str">
        <f t="shared" si="4"/>
        <v>Xiaomi Fitness Tracker</v>
      </c>
      <c r="P24" s="8"/>
      <c r="Q24" s="8"/>
    </row>
    <row r="25" spans="1:17" ht="15.75" customHeight="1" x14ac:dyDescent="0.25">
      <c r="A25" s="9" t="s">
        <v>91</v>
      </c>
      <c r="B25" s="9">
        <v>29</v>
      </c>
      <c r="C25" s="9" t="s">
        <v>130</v>
      </c>
      <c r="D25" s="9" t="s">
        <v>137</v>
      </c>
      <c r="E25" s="9" t="str">
        <f t="shared" si="1"/>
        <v>29-SEP</v>
      </c>
      <c r="F25" s="10">
        <f t="shared" si="2"/>
        <v>46294</v>
      </c>
      <c r="G25" s="9" t="s">
        <v>92</v>
      </c>
      <c r="H25" s="9" t="s">
        <v>93</v>
      </c>
      <c r="I25" s="9">
        <v>800</v>
      </c>
      <c r="J25" s="9">
        <v>45</v>
      </c>
      <c r="K25" s="9" t="s">
        <v>27</v>
      </c>
      <c r="L25" s="11">
        <f t="shared" si="0"/>
        <v>800</v>
      </c>
      <c r="M25" s="11">
        <v>800</v>
      </c>
      <c r="N25" s="8" t="str">
        <f t="shared" si="3"/>
        <v>Electronics</v>
      </c>
      <c r="O25" s="8" t="str">
        <f t="shared" si="4"/>
        <v>Google Smartphone</v>
      </c>
      <c r="P25" s="8"/>
      <c r="Q25" s="8"/>
    </row>
    <row r="26" spans="1:17" ht="15.75" customHeight="1" x14ac:dyDescent="0.25">
      <c r="A26" s="9" t="s">
        <v>94</v>
      </c>
      <c r="B26" s="9">
        <v>3</v>
      </c>
      <c r="C26" s="9" t="s">
        <v>126</v>
      </c>
      <c r="D26" s="9" t="s">
        <v>137</v>
      </c>
      <c r="E26" s="9" t="str">
        <f t="shared" si="1"/>
        <v>3-JUN</v>
      </c>
      <c r="F26" s="10">
        <f t="shared" si="2"/>
        <v>46176</v>
      </c>
      <c r="G26" s="9" t="s">
        <v>77</v>
      </c>
      <c r="H26" s="9" t="s">
        <v>95</v>
      </c>
      <c r="I26" s="9"/>
      <c r="J26" s="9">
        <v>25</v>
      </c>
      <c r="K26" s="9" t="s">
        <v>31</v>
      </c>
      <c r="L26" s="11">
        <f t="shared" si="0"/>
        <v>130</v>
      </c>
      <c r="M26" s="11">
        <v>130</v>
      </c>
      <c r="N26" s="8" t="str">
        <f t="shared" si="3"/>
        <v>Fashion</v>
      </c>
      <c r="O26" s="8" t="str">
        <f t="shared" si="4"/>
        <v>Ray-Ban Sunglasses</v>
      </c>
      <c r="P26" s="8"/>
      <c r="Q26" s="8"/>
    </row>
    <row r="27" spans="1:17" ht="15.75" customHeight="1" x14ac:dyDescent="0.25">
      <c r="A27" s="9" t="s">
        <v>96</v>
      </c>
      <c r="B27" s="9">
        <v>11</v>
      </c>
      <c r="C27" s="9" t="s">
        <v>128</v>
      </c>
      <c r="D27" s="9" t="s">
        <v>137</v>
      </c>
      <c r="E27" s="9" t="str">
        <f t="shared" si="1"/>
        <v>11-JUL</v>
      </c>
      <c r="F27" s="10">
        <f t="shared" si="2"/>
        <v>46214</v>
      </c>
      <c r="G27" s="9" t="s">
        <v>48</v>
      </c>
      <c r="H27" s="9" t="s">
        <v>97</v>
      </c>
      <c r="I27" s="9">
        <v>400</v>
      </c>
      <c r="J27" s="9">
        <v>40</v>
      </c>
      <c r="K27" s="9" t="s">
        <v>35</v>
      </c>
      <c r="L27" s="11">
        <f t="shared" si="0"/>
        <v>400</v>
      </c>
      <c r="M27" s="11">
        <v>400</v>
      </c>
      <c r="N27" s="8" t="str">
        <f t="shared" si="3"/>
        <v>Kitchen</v>
      </c>
      <c r="O27" s="8" t="str">
        <f t="shared" si="4"/>
        <v>Vitamix Blender</v>
      </c>
      <c r="P27" s="8"/>
      <c r="Q27" s="8"/>
    </row>
    <row r="28" spans="1:17" ht="15.75" customHeight="1" x14ac:dyDescent="0.25">
      <c r="A28" s="9" t="s">
        <v>98</v>
      </c>
      <c r="B28" s="9">
        <v>7</v>
      </c>
      <c r="C28" s="9" t="s">
        <v>123</v>
      </c>
      <c r="D28" s="9" t="s">
        <v>137</v>
      </c>
      <c r="E28" s="9" t="str">
        <f t="shared" si="1"/>
        <v>7-MAR</v>
      </c>
      <c r="F28" s="10">
        <f t="shared" si="2"/>
        <v>46088</v>
      </c>
      <c r="G28" s="9" t="s">
        <v>99</v>
      </c>
      <c r="H28" s="9" t="s">
        <v>100</v>
      </c>
      <c r="I28" s="9">
        <v>60</v>
      </c>
      <c r="J28" s="9">
        <v>30</v>
      </c>
      <c r="K28" s="9" t="s">
        <v>31</v>
      </c>
      <c r="L28" s="11">
        <f t="shared" si="0"/>
        <v>60</v>
      </c>
      <c r="M28" s="11">
        <v>60</v>
      </c>
      <c r="N28" s="8" t="str">
        <f t="shared" si="3"/>
        <v>Fashion</v>
      </c>
      <c r="O28" s="8" t="str">
        <f t="shared" si="4"/>
        <v>Zara Dress</v>
      </c>
      <c r="P28" s="8"/>
      <c r="Q28" s="8"/>
    </row>
    <row r="29" spans="1:17" ht="15.75" customHeight="1" x14ac:dyDescent="0.25">
      <c r="A29" s="9" t="s">
        <v>101</v>
      </c>
      <c r="B29" s="9">
        <v>13</v>
      </c>
      <c r="C29" s="9" t="s">
        <v>124</v>
      </c>
      <c r="D29" s="9" t="s">
        <v>137</v>
      </c>
      <c r="E29" s="9" t="str">
        <f t="shared" si="1"/>
        <v>13-APR</v>
      </c>
      <c r="F29" s="10">
        <f t="shared" si="2"/>
        <v>46125</v>
      </c>
      <c r="G29" s="9" t="s">
        <v>102</v>
      </c>
      <c r="H29" s="9" t="s">
        <v>103</v>
      </c>
      <c r="I29" s="9">
        <v>40</v>
      </c>
      <c r="J29" s="9">
        <v>10</v>
      </c>
      <c r="K29" s="9" t="s">
        <v>35</v>
      </c>
      <c r="L29" s="11">
        <f t="shared" si="0"/>
        <v>40</v>
      </c>
      <c r="M29" s="11">
        <v>40</v>
      </c>
      <c r="N29" s="8" t="str">
        <f t="shared" si="3"/>
        <v>Kitchen</v>
      </c>
      <c r="O29" s="8" t="str">
        <f t="shared" si="4"/>
        <v>Hamilton Toaster</v>
      </c>
      <c r="P29" s="8"/>
      <c r="Q29" s="8"/>
    </row>
    <row r="30" spans="1:17" ht="15.75" customHeight="1" x14ac:dyDescent="0.25">
      <c r="A30" s="9" t="s">
        <v>104</v>
      </c>
      <c r="B30" s="9">
        <v>24</v>
      </c>
      <c r="C30" s="9" t="s">
        <v>125</v>
      </c>
      <c r="D30" s="9" t="s">
        <v>137</v>
      </c>
      <c r="E30" s="9" t="str">
        <f t="shared" si="1"/>
        <v>24-MAY</v>
      </c>
      <c r="F30" s="10">
        <f t="shared" si="2"/>
        <v>46166</v>
      </c>
      <c r="G30" s="9" t="s">
        <v>89</v>
      </c>
      <c r="H30" s="9" t="s">
        <v>105</v>
      </c>
      <c r="I30" s="9">
        <v>130</v>
      </c>
      <c r="J30" s="9">
        <v>5</v>
      </c>
      <c r="K30" s="9" t="s">
        <v>27</v>
      </c>
      <c r="L30" s="11">
        <f t="shared" si="0"/>
        <v>130</v>
      </c>
      <c r="M30" s="11">
        <v>130</v>
      </c>
      <c r="N30" s="8" t="str">
        <f t="shared" si="3"/>
        <v>Electronics</v>
      </c>
      <c r="O30" s="8" t="str">
        <f t="shared" si="4"/>
        <v>Garmin Fitness Tracker</v>
      </c>
      <c r="P30" s="8"/>
      <c r="Q30" s="8"/>
    </row>
    <row r="31" spans="1:17" ht="15.75" customHeight="1" x14ac:dyDescent="0.25">
      <c r="A31" s="9" t="s">
        <v>106</v>
      </c>
      <c r="B31" s="9">
        <v>2</v>
      </c>
      <c r="C31" s="9" t="s">
        <v>135</v>
      </c>
      <c r="D31" s="9" t="s">
        <v>137</v>
      </c>
      <c r="E31" s="9" t="str">
        <f t="shared" si="1"/>
        <v>2-DEC</v>
      </c>
      <c r="F31" s="10">
        <f t="shared" si="2"/>
        <v>46358</v>
      </c>
      <c r="G31" s="9" t="s">
        <v>107</v>
      </c>
      <c r="H31" s="9" t="s">
        <v>108</v>
      </c>
      <c r="I31" s="9">
        <v>50</v>
      </c>
      <c r="J31" s="9">
        <v>50</v>
      </c>
      <c r="K31" s="9" t="s">
        <v>31</v>
      </c>
      <c r="L31" s="11">
        <f t="shared" si="0"/>
        <v>50</v>
      </c>
      <c r="M31" s="11">
        <v>50</v>
      </c>
      <c r="N31" s="8" t="str">
        <f t="shared" si="3"/>
        <v>Fashion</v>
      </c>
      <c r="O31" s="8" t="str">
        <f t="shared" si="4"/>
        <v>Levi's Jeans</v>
      </c>
      <c r="P31" s="8"/>
      <c r="Q31" s="8"/>
    </row>
    <row r="32" spans="1:17" ht="15.75" customHeight="1" x14ac:dyDescent="0.25">
      <c r="A32" s="9" t="s">
        <v>109</v>
      </c>
      <c r="B32" s="9">
        <v>9</v>
      </c>
      <c r="C32" s="9" t="s">
        <v>128</v>
      </c>
      <c r="D32" s="9" t="s">
        <v>143</v>
      </c>
      <c r="E32" s="9" t="str">
        <f t="shared" si="1"/>
        <v>9-JUL</v>
      </c>
      <c r="F32" s="10">
        <f t="shared" si="2"/>
        <v>46212</v>
      </c>
      <c r="G32" s="9" t="s">
        <v>110</v>
      </c>
      <c r="H32" s="9" t="s">
        <v>111</v>
      </c>
      <c r="I32" s="9">
        <v>100</v>
      </c>
      <c r="J32" s="9">
        <v>20</v>
      </c>
      <c r="K32" s="9" t="s">
        <v>71</v>
      </c>
      <c r="L32" s="11">
        <f t="shared" si="0"/>
        <v>100</v>
      </c>
      <c r="M32" s="11">
        <v>100</v>
      </c>
      <c r="N32" s="8" t="str">
        <f t="shared" si="3"/>
        <v>Accessories</v>
      </c>
      <c r="O32" s="8" t="str">
        <f t="shared" si="4"/>
        <v>Casio Watch</v>
      </c>
      <c r="P32" s="8"/>
      <c r="Q32" s="8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M2:M3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{93DA1E11-96AB-41AA-B046-C1CD40A6925F}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DA1E11-96AB-41AA-B046-C1CD40A69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M2:M32</xm:sqref>
        </x14:conditionalFormatting>
        <x14:conditionalFormatting xmlns:xm="http://schemas.microsoft.com/office/excel/2006/main">
          <x14:cfRule type="containsText" priority="1" operator="containsText" id="{50FFEE37-1E02-4284-8E8F-A269AFE80D1A}">
            <xm:f>NOT(ISERROR(SEARCH($N$6,N2)))</xm:f>
            <xm:f>$N$6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1366344C-D656-40BA-81D5-8C0EDF79C051}">
            <xm:f>NOT(ISERROR(SEARCH($N$2,N2)))</xm:f>
            <xm:f>$N$2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N2:N32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Bincy K</cp:lastModifiedBy>
  <dcterms:modified xsi:type="dcterms:W3CDTF">2026-10-06T04:43:17Z</dcterms:modified>
</cp:coreProperties>
</file>